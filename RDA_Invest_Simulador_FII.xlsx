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onnie\Cursos\Excel_com_IA (Dio - Santander)\Excel com IA\"/>
    </mc:Choice>
  </mc:AlternateContent>
  <xr:revisionPtr revIDLastSave="0" documentId="13_ncr:1_{ECF423A7-15BE-4475-B260-5FD3C8EE59F4}" xr6:coauthVersionLast="47" xr6:coauthVersionMax="47" xr10:uidLastSave="{00000000-0000-0000-0000-000000000000}"/>
  <bookViews>
    <workbookView xWindow="-120" yWindow="-120" windowWidth="29040" windowHeight="15720" tabRatio="0" xr2:uid="{DCDA92E9-C485-4139-B68D-899AAFC6765D}"/>
  </bookViews>
  <sheets>
    <sheet name="Simulador" sheetId="1" r:id="rId1"/>
    <sheet name="Perfil" sheetId="3" r:id="rId2"/>
  </sheets>
  <externalReferences>
    <externalReference r:id="rId3"/>
  </externalReferences>
  <definedNames>
    <definedName name="_xlnm._FilterDatabase" localSheetId="1" hidden="1">Perfil!$C$2:$C$8</definedName>
    <definedName name="_xlnm._FilterDatabase" localSheetId="0" hidden="1">Simulador!$C$12:$C$18</definedName>
    <definedName name="aporte">#REF!</definedName>
    <definedName name="patrimonio" localSheetId="1">[1]APP!$D$20</definedName>
    <definedName name="patrimonio">#REF!</definedName>
    <definedName name="qtd_anos" localSheetId="1">[1]APP!$D$18</definedName>
    <definedName name="qtd_anos">#REF!</definedName>
    <definedName name="rendimento_carteira" localSheetId="1">[1]APP!$D$13</definedName>
    <definedName name="rendimento_carteira">#REF!</definedName>
    <definedName name="sal">#REF!</definedName>
    <definedName name="salario">Simulador!$E$5</definedName>
    <definedName name="sug_invest">Simulador!$E$7</definedName>
    <definedName name="sugestao_investimento">#REF!</definedName>
    <definedName name="taxa_mensal" localSheetId="1">[1]APP!$D$19</definedName>
    <definedName name="taxa_mensa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1" l="1"/>
  <c r="D15" i="1"/>
  <c r="D16" i="1"/>
  <c r="D17" i="1"/>
  <c r="D18" i="1"/>
  <c r="D13" i="1"/>
  <c r="E10" i="1"/>
  <c r="H14" i="1"/>
  <c r="I14" i="1" s="1"/>
  <c r="H15" i="1"/>
  <c r="I15" i="1" s="1"/>
  <c r="H16" i="1"/>
  <c r="I16" i="1" s="1"/>
  <c r="H17" i="1"/>
  <c r="I17" i="1" s="1"/>
  <c r="H18" i="1"/>
  <c r="I18" i="1" s="1"/>
  <c r="H13" i="1"/>
  <c r="I13" i="1" s="1"/>
  <c r="I8" i="1"/>
  <c r="I9" i="1" s="1"/>
  <c r="E7" i="1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3" i="3"/>
  <c r="E13" i="1" l="1"/>
  <c r="E14" i="1"/>
  <c r="E18" i="1" s="1"/>
  <c r="E15" i="1"/>
  <c r="E16" i="1"/>
  <c r="E17" i="1"/>
</calcChain>
</file>

<file path=xl/sharedStrings.xml><?xml version="1.0" encoding="utf-8"?>
<sst xmlns="http://schemas.openxmlformats.org/spreadsheetml/2006/main" count="77" uniqueCount="38">
  <si>
    <t>CONFIGURAÇÕES</t>
  </si>
  <si>
    <t>Salário</t>
  </si>
  <si>
    <t>Rendimento Carteira</t>
  </si>
  <si>
    <t>Sugestão de Investimento (30%)</t>
  </si>
  <si>
    <t>Quanto em 2 Anos ?</t>
  </si>
  <si>
    <t>Quanto em 5 Anos ?</t>
  </si>
  <si>
    <t>Quanto em 10 Anos ?</t>
  </si>
  <si>
    <t>Quanto em 20 Anos ?</t>
  </si>
  <si>
    <t>Quanto em 30 Anos ?</t>
  </si>
  <si>
    <t>PERFIL</t>
  </si>
  <si>
    <t>Moderado</t>
  </si>
  <si>
    <t>TIPO DE FII</t>
  </si>
  <si>
    <t>Percentual Sugerido</t>
  </si>
  <si>
    <t>Valores</t>
  </si>
  <si>
    <t>FOFs</t>
  </si>
  <si>
    <t>CHAVE</t>
  </si>
  <si>
    <t>%</t>
  </si>
  <si>
    <t>Conservador</t>
  </si>
  <si>
    <t>Agressivo</t>
  </si>
  <si>
    <t>Quanto em 15 Anos ?</t>
  </si>
  <si>
    <t>Papel</t>
  </si>
  <si>
    <t>Tijolo</t>
  </si>
  <si>
    <t>Híbridos</t>
  </si>
  <si>
    <t>Desenvolvimento</t>
  </si>
  <si>
    <t>Hotelarias</t>
  </si>
  <si>
    <t>PERFIL DO INVESTIDOR</t>
  </si>
  <si>
    <t>SIMULAÇÃO MENSAL</t>
  </si>
  <si>
    <t>PROJEÇÃO DE CENÁRIOS</t>
  </si>
  <si>
    <t>DIVIDENDOS MENSAIS</t>
  </si>
  <si>
    <t>Aporte</t>
  </si>
  <si>
    <t>Quanto investir por mês</t>
  </si>
  <si>
    <t>Por Quantos Anos</t>
  </si>
  <si>
    <t>Taxa de Rendimento mensal</t>
  </si>
  <si>
    <t>Patrimônio acumulado</t>
  </si>
  <si>
    <t>Dividendos Mensais</t>
  </si>
  <si>
    <t>EVOLUÇÃO PATRIMONIAL</t>
  </si>
  <si>
    <t>SIMULADOR DE INVESTIMENTOS EM FUNDOS IMOBILIÁRIOS</t>
  </si>
  <si>
    <t>RDA INVEST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</si>
</sst>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i/>
      <sz val="12"/>
      <color theme="4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3.5"/>
      <color theme="4" tint="-0.249977111117893"/>
      <name val="Calibri"/>
      <family val="2"/>
      <scheme val="minor"/>
    </font>
    <font>
      <b/>
      <i/>
      <sz val="12"/>
      <color theme="3"/>
      <name val="Calibri"/>
      <family val="2"/>
      <scheme val="minor"/>
    </font>
    <font>
      <b/>
      <i/>
      <sz val="14"/>
      <color theme="3"/>
      <name val="Calibri"/>
      <family val="2"/>
      <scheme val="minor"/>
    </font>
    <font>
      <b/>
      <i/>
      <sz val="20"/>
      <color theme="3"/>
      <name val="Calibri"/>
      <family val="2"/>
      <scheme val="minor"/>
    </font>
    <font>
      <b/>
      <sz val="20"/>
      <color theme="3"/>
      <name val="Arial Black"/>
      <family val="2"/>
    </font>
    <font>
      <b/>
      <i/>
      <sz val="12"/>
      <color rgb="FF7F7F7F"/>
      <name val="Calibri"/>
      <family val="2"/>
      <scheme val="minor"/>
    </font>
    <font>
      <sz val="11"/>
      <color rgb="FFF7F7F7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i/>
      <sz val="15"/>
      <color theme="3"/>
      <name val="Calibri"/>
      <family val="2"/>
      <scheme val="minor"/>
    </font>
    <font>
      <b/>
      <sz val="12"/>
      <color theme="0"/>
      <name val="Arial Black"/>
      <family val="2"/>
    </font>
  </fonts>
  <fills count="11">
    <fill>
      <patternFill patternType="none"/>
    </fill>
    <fill>
      <patternFill patternType="gray125"/>
    </fill>
    <fill>
      <patternFill patternType="solid">
        <fgColor theme="8"/>
      </patternFill>
    </fill>
    <fill>
      <gradientFill degree="270">
        <stop position="0">
          <color theme="0"/>
        </stop>
        <stop position="1">
          <color theme="4" tint="0.80001220740379042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4"/>
      </top>
      <bottom style="thick">
        <color theme="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  <xf numFmtId="0" fontId="4" fillId="2" borderId="0" applyNumberFormat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/>
    </xf>
    <xf numFmtId="9" fontId="5" fillId="7" borderId="3" xfId="1" applyFont="1" applyFill="1" applyBorder="1" applyAlignment="1">
      <alignment horizontal="center"/>
    </xf>
    <xf numFmtId="0" fontId="2" fillId="0" borderId="1" xfId="2" applyAlignment="1">
      <alignment horizontal="left" indent="1"/>
    </xf>
    <xf numFmtId="0" fontId="5" fillId="7" borderId="2" xfId="3" applyFont="1" applyFill="1" applyBorder="1" applyAlignment="1"/>
    <xf numFmtId="9" fontId="5" fillId="7" borderId="2" xfId="1" applyFont="1" applyFill="1" applyBorder="1" applyAlignment="1">
      <alignment horizontal="center"/>
    </xf>
    <xf numFmtId="0" fontId="5" fillId="7" borderId="3" xfId="3" applyFont="1" applyFill="1" applyBorder="1" applyAlignment="1"/>
    <xf numFmtId="0" fontId="5" fillId="7" borderId="5" xfId="3" applyFont="1" applyFill="1" applyBorder="1" applyAlignment="1"/>
    <xf numFmtId="9" fontId="5" fillId="7" borderId="5" xfId="1" applyFont="1" applyFill="1" applyBorder="1" applyAlignment="1">
      <alignment horizontal="center"/>
    </xf>
    <xf numFmtId="0" fontId="9" fillId="4" borderId="1" xfId="2" applyFont="1" applyFill="1" applyAlignment="1" applyProtection="1">
      <alignment horizontal="left" indent="1"/>
    </xf>
    <xf numFmtId="0" fontId="0" fillId="6" borderId="0" xfId="0" applyFill="1"/>
    <xf numFmtId="0" fontId="10" fillId="4" borderId="1" xfId="2" applyFont="1" applyFill="1" applyAlignment="1" applyProtection="1"/>
    <xf numFmtId="0" fontId="5" fillId="7" borderId="4" xfId="3" applyFont="1" applyFill="1" applyBorder="1" applyAlignment="1" applyProtection="1">
      <alignment horizontal="left" indent="1"/>
    </xf>
    <xf numFmtId="9" fontId="5" fillId="7" borderId="4" xfId="1" applyFont="1" applyFill="1" applyBorder="1" applyAlignment="1" applyProtection="1">
      <alignment horizontal="center"/>
    </xf>
    <xf numFmtId="164" fontId="8" fillId="4" borderId="4" xfId="3" applyNumberFormat="1" applyFont="1" applyFill="1" applyBorder="1" applyAlignment="1" applyProtection="1">
      <alignment horizontal="center"/>
    </xf>
    <xf numFmtId="0" fontId="14" fillId="5" borderId="0" xfId="0" applyFont="1" applyFill="1"/>
    <xf numFmtId="0" fontId="5" fillId="7" borderId="2" xfId="3" applyFont="1" applyFill="1" applyBorder="1" applyAlignment="1" applyProtection="1">
      <alignment horizontal="left" indent="1"/>
    </xf>
    <xf numFmtId="164" fontId="6" fillId="7" borderId="2" xfId="3" applyNumberFormat="1" applyFont="1" applyFill="1" applyBorder="1" applyAlignment="1" applyProtection="1">
      <alignment horizontal="center"/>
    </xf>
    <xf numFmtId="164" fontId="8" fillId="4" borderId="2" xfId="3" applyNumberFormat="1" applyFont="1" applyFill="1" applyBorder="1" applyAlignment="1" applyProtection="1">
      <alignment horizontal="center"/>
    </xf>
    <xf numFmtId="0" fontId="5" fillId="7" borderId="3" xfId="3" applyFont="1" applyFill="1" applyBorder="1" applyAlignment="1" applyProtection="1">
      <alignment horizontal="left" indent="1"/>
    </xf>
    <xf numFmtId="164" fontId="6" fillId="7" borderId="3" xfId="3" applyNumberFormat="1" applyFont="1" applyFill="1" applyBorder="1" applyAlignment="1" applyProtection="1">
      <alignment horizontal="center"/>
    </xf>
    <xf numFmtId="164" fontId="8" fillId="4" borderId="3" xfId="3" applyNumberFormat="1" applyFont="1" applyFill="1" applyBorder="1" applyAlignment="1" applyProtection="1">
      <alignment horizontal="center"/>
    </xf>
    <xf numFmtId="0" fontId="7" fillId="6" borderId="0" xfId="0" applyFont="1" applyFill="1"/>
    <xf numFmtId="0" fontId="7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164" fontId="8" fillId="4" borderId="2" xfId="3" applyNumberFormat="1" applyFont="1" applyFill="1" applyBorder="1" applyAlignment="1" applyProtection="1">
      <alignment horizontal="center"/>
      <protection locked="0"/>
    </xf>
    <xf numFmtId="10" fontId="8" fillId="4" borderId="3" xfId="1" applyNumberFormat="1" applyFont="1" applyFill="1" applyBorder="1" applyAlignment="1" applyProtection="1">
      <alignment horizontal="center"/>
      <protection locked="0"/>
    </xf>
    <xf numFmtId="0" fontId="8" fillId="4" borderId="3" xfId="3" applyFont="1" applyFill="1" applyBorder="1" applyAlignment="1" applyProtection="1">
      <alignment horizontal="center"/>
      <protection locked="0"/>
    </xf>
    <xf numFmtId="164" fontId="8" fillId="4" borderId="3" xfId="1" applyNumberFormat="1" applyFont="1" applyFill="1" applyBorder="1" applyAlignment="1" applyProtection="1">
      <alignment horizontal="center"/>
    </xf>
    <xf numFmtId="164" fontId="8" fillId="4" borderId="4" xfId="1" applyNumberFormat="1" applyFont="1" applyFill="1" applyBorder="1" applyAlignment="1" applyProtection="1">
      <alignment horizontal="center"/>
    </xf>
    <xf numFmtId="0" fontId="15" fillId="2" borderId="1" xfId="4" applyFont="1" applyBorder="1" applyAlignment="1" applyProtection="1">
      <alignment horizontal="center"/>
      <protection locked="0"/>
    </xf>
    <xf numFmtId="0" fontId="16" fillId="4" borderId="1" xfId="2" applyFont="1" applyFill="1" applyAlignment="1" applyProtection="1">
      <alignment horizontal="left" indent="1"/>
    </xf>
    <xf numFmtId="0" fontId="17" fillId="8" borderId="0" xfId="0" applyFont="1" applyFill="1" applyAlignment="1">
      <alignment horizontal="center"/>
    </xf>
    <xf numFmtId="0" fontId="13" fillId="7" borderId="3" xfId="3" applyFont="1" applyFill="1" applyBorder="1" applyAlignment="1" applyProtection="1">
      <alignment horizontal="left" indent="1"/>
    </xf>
    <xf numFmtId="0" fontId="11" fillId="3" borderId="1" xfId="2" applyFont="1" applyFill="1" applyAlignment="1" applyProtection="1">
      <alignment horizontal="left" vertical="center" wrapText="1" indent="1"/>
    </xf>
    <xf numFmtId="0" fontId="2" fillId="4" borderId="1" xfId="2" applyFill="1" applyAlignment="1" applyProtection="1">
      <alignment horizontal="left" indent="1"/>
    </xf>
    <xf numFmtId="0" fontId="5" fillId="7" borderId="2" xfId="3" applyFont="1" applyFill="1" applyBorder="1" applyAlignment="1" applyProtection="1">
      <alignment horizontal="left" indent="1"/>
    </xf>
    <xf numFmtId="0" fontId="5" fillId="7" borderId="3" xfId="3" applyFont="1" applyFill="1" applyBorder="1" applyAlignment="1" applyProtection="1">
      <alignment horizontal="left" indent="1"/>
    </xf>
    <xf numFmtId="0" fontId="5" fillId="7" borderId="4" xfId="3" applyFont="1" applyFill="1" applyBorder="1" applyAlignment="1" applyProtection="1">
      <alignment horizontal="left" indent="1"/>
    </xf>
    <xf numFmtId="0" fontId="13" fillId="7" borderId="2" xfId="3" applyFont="1" applyFill="1" applyBorder="1" applyAlignment="1" applyProtection="1">
      <alignment horizontal="left" indent="1"/>
    </xf>
    <xf numFmtId="0" fontId="12" fillId="9" borderId="0" xfId="0" applyFont="1" applyFill="1" applyAlignment="1">
      <alignment horizontal="left" indent="1"/>
    </xf>
    <xf numFmtId="164" fontId="8" fillId="10" borderId="4" xfId="3" applyNumberFormat="1" applyFont="1" applyFill="1" applyBorder="1" applyAlignment="1" applyProtection="1">
      <alignment horizontal="center"/>
    </xf>
    <xf numFmtId="164" fontId="8" fillId="10" borderId="3" xfId="3" applyNumberFormat="1" applyFont="1" applyFill="1" applyBorder="1" applyAlignment="1" applyProtection="1">
      <alignment horizontal="center"/>
    </xf>
    <xf numFmtId="0" fontId="5" fillId="10" borderId="3" xfId="3" applyFont="1" applyFill="1" applyBorder="1" applyAlignment="1" applyProtection="1">
      <alignment horizontal="left" indent="1"/>
    </xf>
    <xf numFmtId="164" fontId="6" fillId="10" borderId="3" xfId="3" applyNumberFormat="1" applyFont="1" applyFill="1" applyBorder="1" applyAlignment="1" applyProtection="1">
      <alignment horizontal="center"/>
    </xf>
  </cellXfs>
  <cellStyles count="5">
    <cellStyle name="Ênfase5" xfId="4" builtinId="45"/>
    <cellStyle name="Normal" xfId="0" builtinId="0"/>
    <cellStyle name="Porcentagem" xfId="1" builtinId="5"/>
    <cellStyle name="Texto Explicativo" xfId="3" builtinId="53"/>
    <cellStyle name="Título 1" xfId="2" builtinId="16"/>
  </cellStyles>
  <dxfs count="0"/>
  <tableStyles count="0" defaultTableStyle="TableStyleMedium2" defaultPivotStyle="PivotStyleLight16"/>
  <colors>
    <mruColors>
      <color rgb="FFF7F7F7"/>
      <color rgb="FFFFFFFF"/>
      <color rgb="FFF5F5F5"/>
      <color rgb="FFFDFD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Simulador!$E$12</c:f>
              <c:strCache>
                <c:ptCount val="1"/>
                <c:pt idx="0">
                  <c:v>Valores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Simulador!$C$13:$C$18</c:f>
              <c:strCache>
                <c:ptCount val="6"/>
                <c:pt idx="0">
                  <c:v>Desenvolvimento</c:v>
                </c:pt>
                <c:pt idx="1">
                  <c:v>FOFs</c:v>
                </c:pt>
                <c:pt idx="2">
                  <c:v>Híbridos</c:v>
                </c:pt>
                <c:pt idx="3">
                  <c:v>Hotelarias</c:v>
                </c:pt>
                <c:pt idx="4">
                  <c:v>Papel</c:v>
                </c:pt>
                <c:pt idx="5">
                  <c:v>Tijolo</c:v>
                </c:pt>
              </c:strCache>
            </c:strRef>
          </c:cat>
          <c:val>
            <c:numRef>
              <c:f>Simulador!$E$13:$E$18</c:f>
              <c:numCache>
                <c:formatCode>"R$"\ #,##0.00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8F-47CD-BB27-C1FC4A3F9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71832448"/>
        <c:axId val="1446160112"/>
        <c:axId val="0"/>
      </c:bar3DChart>
      <c:catAx>
        <c:axId val="177183244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6160112"/>
        <c:crosses val="autoZero"/>
        <c:auto val="0"/>
        <c:lblAlgn val="ctr"/>
        <c:lblOffset val="100"/>
        <c:noMultiLvlLbl val="0"/>
      </c:catAx>
      <c:valAx>
        <c:axId val="14461601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1832448"/>
        <c:crosses val="autoZero"/>
        <c:crossBetween val="between"/>
      </c:valAx>
      <c:spPr>
        <a:noFill/>
        <a:ln>
          <a:noFill/>
        </a:ln>
        <a:effectLst>
          <a:softEdge rad="1270000"/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7387795275590561E-2"/>
          <c:y val="0.15558448695718091"/>
          <c:w val="0.93606474190726163"/>
          <c:h val="0.65845078029506243"/>
        </c:manualLayout>
      </c:layout>
      <c:lineChart>
        <c:grouping val="stacked"/>
        <c:varyColors val="0"/>
        <c:ser>
          <c:idx val="0"/>
          <c:order val="0"/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9.5715441819772526E-2"/>
                  <c:y val="-4.16666666666667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7F6-4FA9-A390-4D9945DF8811}"/>
                </c:ext>
              </c:extLst>
            </c:dLbl>
            <c:dLbl>
              <c:idx val="1"/>
              <c:layout>
                <c:manualLayout>
                  <c:x val="-9.5715441819772581E-2"/>
                  <c:y val="-3.24074074074074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F6-4FA9-A390-4D9945DF8811}"/>
                </c:ext>
              </c:extLst>
            </c:dLbl>
            <c:dLbl>
              <c:idx val="2"/>
              <c:layout>
                <c:manualLayout>
                  <c:x val="-0.10204877515310591"/>
                  <c:y val="-5.55555555555556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7F6-4FA9-A390-4D9945DF8811}"/>
                </c:ext>
              </c:extLst>
            </c:dLbl>
            <c:dLbl>
              <c:idx val="3"/>
              <c:layout>
                <c:manualLayout>
                  <c:x val="-9.9270997375328185E-2"/>
                  <c:y val="-6.01851851851851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7F6-4FA9-A390-4D9945DF8811}"/>
                </c:ext>
              </c:extLst>
            </c:dLbl>
            <c:dLbl>
              <c:idx val="4"/>
              <c:layout>
                <c:manualLayout>
                  <c:x val="-0.1103821084864392"/>
                  <c:y val="-8.79629629629629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7F6-4FA9-A390-4D9945DF8811}"/>
                </c:ext>
              </c:extLst>
            </c:dLbl>
            <c:dLbl>
              <c:idx val="5"/>
              <c:layout>
                <c:manualLayout>
                  <c:x val="-2.777777777777676E-3"/>
                  <c:y val="-5.09259259259259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7F6-4FA9-A390-4D9945DF8811}"/>
                </c:ext>
              </c:extLst>
            </c:dLbl>
            <c:spPr>
              <a:noFill/>
              <a:ln>
                <a:solidFill>
                  <a:schemeClr val="accent1">
                    <a:alpha val="92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Simulador!$G$12:$G$18</c15:sqref>
                  </c15:fullRef>
                </c:ext>
              </c:extLst>
              <c:f>Simulador!$G$13:$G$18</c:f>
              <c:strCache>
                <c:ptCount val="6"/>
                <c:pt idx="0">
                  <c:v>Quanto em 2 Anos ?</c:v>
                </c:pt>
                <c:pt idx="1">
                  <c:v>Quanto em 5 Anos ?</c:v>
                </c:pt>
                <c:pt idx="2">
                  <c:v>Quanto em 10 Anos ?</c:v>
                </c:pt>
                <c:pt idx="3">
                  <c:v>Quanto em 15 Anos ?</c:v>
                </c:pt>
                <c:pt idx="4">
                  <c:v>Quanto em 20 Anos ?</c:v>
                </c:pt>
                <c:pt idx="5">
                  <c:v>Quanto em 30 Anos ?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Simulador!$H$12:$H$18</c15:sqref>
                  </c15:fullRef>
                </c:ext>
              </c:extLst>
              <c:f>Simulador!$H$13:$H$18</c:f>
              <c:numCache>
                <c:formatCode>"R$"\ #,##0.00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F6-4FA9-A390-4D9945DF881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771920608"/>
        <c:axId val="1446161552"/>
      </c:lineChart>
      <c:catAx>
        <c:axId val="177192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6161552"/>
        <c:crosses val="autoZero"/>
        <c:auto val="1"/>
        <c:lblAlgn val="ctr"/>
        <c:lblOffset val="100"/>
        <c:noMultiLvlLbl val="0"/>
      </c:catAx>
      <c:valAx>
        <c:axId val="14461615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7192060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11257</xdr:colOff>
      <xdr:row>0</xdr:row>
      <xdr:rowOff>19051</xdr:rowOff>
    </xdr:from>
    <xdr:to>
      <xdr:col>0</xdr:col>
      <xdr:colOff>1713037</xdr:colOff>
      <xdr:row>32</xdr:row>
      <xdr:rowOff>47625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004D3DE-EFC4-0656-C49E-7294B860C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57" y="19051"/>
          <a:ext cx="1701780" cy="7067549"/>
        </a:xfrm>
        <a:prstGeom prst="rect">
          <a:avLst/>
        </a:prstGeom>
      </xdr:spPr>
    </xdr:pic>
    <xdr:clientData/>
  </xdr:twoCellAnchor>
  <xdr:twoCellAnchor>
    <xdr:from>
      <xdr:col>2</xdr:col>
      <xdr:colOff>104775</xdr:colOff>
      <xdr:row>1</xdr:row>
      <xdr:rowOff>66675</xdr:rowOff>
    </xdr:from>
    <xdr:to>
      <xdr:col>3</xdr:col>
      <xdr:colOff>1657350</xdr:colOff>
      <xdr:row>1</xdr:row>
      <xdr:rowOff>447675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1A6DCB6F-22ED-0C82-8A1B-24B76AA7C2E9}"/>
            </a:ext>
          </a:extLst>
        </xdr:cNvPr>
        <xdr:cNvSpPr/>
      </xdr:nvSpPr>
      <xdr:spPr>
        <a:xfrm>
          <a:off x="2047875" y="66675"/>
          <a:ext cx="2905125" cy="381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223836</xdr:colOff>
      <xdr:row>18</xdr:row>
      <xdr:rowOff>76200</xdr:rowOff>
    </xdr:from>
    <xdr:to>
      <xdr:col>4</xdr:col>
      <xdr:colOff>1057274</xdr:colOff>
      <xdr:row>32</xdr:row>
      <xdr:rowOff>47625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6995B39C-74C6-87B9-DD30-421AD7F58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</xdr:colOff>
      <xdr:row>19</xdr:row>
      <xdr:rowOff>228600</xdr:rowOff>
    </xdr:from>
    <xdr:to>
      <xdr:col>8</xdr:col>
      <xdr:colOff>1857376</xdr:colOff>
      <xdr:row>32</xdr:row>
      <xdr:rowOff>47625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C7C55213-41E7-BF62-4811-52081742C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Ronnie\Cursos\Excel_com_IA%20(Dio%20-%20Santander)\Excel%20com%20IA\a04b81b1-8e35-4e72-aeb9-98aed8ed4403.xlsx" TargetMode="External"/><Relationship Id="rId1" Type="http://schemas.openxmlformats.org/officeDocument/2006/relationships/externalLinkPath" Target="a04b81b1-8e35-4e72-aeb9-98aed8ed44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P"/>
      <sheetName val="Planilha2"/>
    </sheetNames>
    <sheetDataSet>
      <sheetData sheetId="0">
        <row r="13">
          <cell r="D13">
            <v>6.0000000000000001E-3</v>
          </cell>
        </row>
        <row r="18">
          <cell r="D18">
            <v>5</v>
          </cell>
        </row>
        <row r="19">
          <cell r="D19">
            <v>1.0789999999999999E-2</v>
          </cell>
        </row>
        <row r="20">
          <cell r="D20">
            <v>16755.382799697527</v>
          </cell>
        </row>
      </sheetData>
      <sheetData sheetId="1">
        <row r="2">
          <cell r="A2" t="str">
            <v>CHAVE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83E0C-EA9F-4C27-992C-DD26949AB8F1}">
  <dimension ref="A1:J34"/>
  <sheetViews>
    <sheetView showGridLines="0" tabSelected="1" zoomScaleNormal="100" workbookViewId="0">
      <selection activeCell="I5" sqref="I5"/>
    </sheetView>
  </sheetViews>
  <sheetFormatPr defaultColWidth="0" defaultRowHeight="15" zeroHeight="1" x14ac:dyDescent="0.25"/>
  <cols>
    <col min="1" max="1" width="25.7109375" style="10" customWidth="1"/>
    <col min="2" max="2" width="3.42578125" style="10" customWidth="1"/>
    <col min="3" max="3" width="20.28515625" style="10" customWidth="1"/>
    <col min="4" max="4" width="25.85546875" style="24" bestFit="1" customWidth="1"/>
    <col min="5" max="5" width="15.85546875" style="24" bestFit="1" customWidth="1"/>
    <col min="6" max="6" width="5.28515625" style="10" customWidth="1"/>
    <col min="7" max="7" width="30" style="10" customWidth="1"/>
    <col min="8" max="8" width="24.140625" style="10" customWidth="1"/>
    <col min="9" max="9" width="28" style="10" bestFit="1" customWidth="1"/>
    <col min="10" max="10" width="1.28515625" style="10" customWidth="1"/>
    <col min="11" max="16384" width="9.140625" style="10" hidden="1"/>
  </cols>
  <sheetData>
    <row r="1" spans="3:9" ht="31.5" x14ac:dyDescent="0.6">
      <c r="C1" s="40" t="s">
        <v>37</v>
      </c>
      <c r="D1" s="40"/>
      <c r="E1" s="40"/>
      <c r="F1" s="40"/>
      <c r="G1" s="40"/>
      <c r="H1" s="40"/>
      <c r="I1" s="40"/>
    </row>
    <row r="2" spans="3:9" ht="27" thickBot="1" x14ac:dyDescent="0.3">
      <c r="C2" s="34" t="s">
        <v>36</v>
      </c>
      <c r="D2" s="34"/>
      <c r="E2" s="34"/>
      <c r="F2" s="34"/>
      <c r="G2" s="34"/>
      <c r="H2" s="34"/>
      <c r="I2" s="34"/>
    </row>
    <row r="3" spans="3:9" ht="13.5" customHeight="1" thickTop="1" x14ac:dyDescent="0.25"/>
    <row r="4" spans="3:9" ht="25.5" customHeight="1" thickBot="1" x14ac:dyDescent="0.35">
      <c r="C4" s="35" t="s">
        <v>0</v>
      </c>
      <c r="D4" s="35"/>
      <c r="E4" s="35"/>
      <c r="G4" s="35" t="s">
        <v>26</v>
      </c>
      <c r="H4" s="35"/>
      <c r="I4" s="35"/>
    </row>
    <row r="5" spans="3:9" ht="18.75" thickTop="1" x14ac:dyDescent="0.3">
      <c r="C5" s="36" t="s">
        <v>1</v>
      </c>
      <c r="D5" s="36"/>
      <c r="E5" s="25"/>
      <c r="G5" s="39" t="s">
        <v>30</v>
      </c>
      <c r="H5" s="39"/>
      <c r="I5" s="25"/>
    </row>
    <row r="6" spans="3:9" ht="18" x14ac:dyDescent="0.3">
      <c r="C6" s="37" t="s">
        <v>2</v>
      </c>
      <c r="D6" s="37"/>
      <c r="E6" s="26"/>
      <c r="G6" s="37" t="s">
        <v>31</v>
      </c>
      <c r="H6" s="37"/>
      <c r="I6" s="27">
        <v>5</v>
      </c>
    </row>
    <row r="7" spans="3:9" ht="18" x14ac:dyDescent="0.3">
      <c r="C7" s="37" t="s">
        <v>3</v>
      </c>
      <c r="D7" s="37"/>
      <c r="E7" s="28">
        <f>salario*30%</f>
        <v>0</v>
      </c>
      <c r="G7" s="37" t="s">
        <v>32</v>
      </c>
      <c r="H7" s="37"/>
      <c r="I7" s="26">
        <v>1.0789999999999999E-2</v>
      </c>
    </row>
    <row r="8" spans="3:9" ht="18" x14ac:dyDescent="0.3">
      <c r="G8" s="38" t="s">
        <v>33</v>
      </c>
      <c r="H8" s="38"/>
      <c r="I8" s="41">
        <f>FV(I7,I6*12,I5*-1)</f>
        <v>0</v>
      </c>
    </row>
    <row r="9" spans="3:9" ht="20.25" thickBot="1" x14ac:dyDescent="0.35">
      <c r="C9" s="35" t="s">
        <v>25</v>
      </c>
      <c r="D9" s="35"/>
      <c r="E9" s="30" t="s">
        <v>18</v>
      </c>
      <c r="G9" s="37" t="s">
        <v>34</v>
      </c>
      <c r="H9" s="37"/>
      <c r="I9" s="42">
        <f>I8*E6</f>
        <v>0</v>
      </c>
    </row>
    <row r="10" spans="3:9" ht="18.75" thickTop="1" x14ac:dyDescent="0.3">
      <c r="C10" s="33" t="s">
        <v>29</v>
      </c>
      <c r="D10" s="33"/>
      <c r="E10" s="29">
        <f>I5</f>
        <v>0</v>
      </c>
    </row>
    <row r="11" spans="3:9" ht="9" customHeight="1" x14ac:dyDescent="0.25">
      <c r="D11" s="10"/>
      <c r="E11" s="10"/>
    </row>
    <row r="12" spans="3:9" ht="20.25" thickBot="1" x14ac:dyDescent="0.35">
      <c r="C12" s="31" t="s">
        <v>11</v>
      </c>
      <c r="D12" s="9" t="s">
        <v>12</v>
      </c>
      <c r="E12" s="9" t="s">
        <v>13</v>
      </c>
      <c r="G12" s="35" t="s">
        <v>27</v>
      </c>
      <c r="H12" s="35"/>
      <c r="I12" s="11" t="s">
        <v>28</v>
      </c>
    </row>
    <row r="13" spans="3:9" ht="18.75" thickTop="1" x14ac:dyDescent="0.3">
      <c r="C13" s="12" t="s">
        <v>23</v>
      </c>
      <c r="D13" s="13">
        <f>VLOOKUP($E$9&amp;"-"&amp;$C13,Perfil!A:D,4,0)</f>
        <v>0.5</v>
      </c>
      <c r="E13" s="14">
        <f>$D13*$E$10</f>
        <v>0</v>
      </c>
      <c r="F13" s="15">
        <v>2</v>
      </c>
      <c r="G13" s="16" t="s">
        <v>4</v>
      </c>
      <c r="H13" s="17">
        <f>FV($I$7,$F13*12,$I$5*-1)</f>
        <v>0</v>
      </c>
      <c r="I13" s="18">
        <f>$H13*$E$6</f>
        <v>0</v>
      </c>
    </row>
    <row r="14" spans="3:9" ht="18" x14ac:dyDescent="0.3">
      <c r="C14" s="19" t="s">
        <v>14</v>
      </c>
      <c r="D14" s="13">
        <f>VLOOKUP($E$9&amp;"-"&amp;$C14,Perfil!A:D,4,0)</f>
        <v>0.1</v>
      </c>
      <c r="E14" s="14">
        <f t="shared" ref="E14:E18" si="0">$D14*$E$10</f>
        <v>0</v>
      </c>
      <c r="F14" s="15">
        <v>5</v>
      </c>
      <c r="G14" s="19" t="s">
        <v>5</v>
      </c>
      <c r="H14" s="20">
        <f t="shared" ref="H14:H18" si="1">FV($I$7,$F14*12,$I$5*-1)</f>
        <v>0</v>
      </c>
      <c r="I14" s="21">
        <f t="shared" ref="I14:I18" si="2">$H14*$E$6</f>
        <v>0</v>
      </c>
    </row>
    <row r="15" spans="3:9" ht="18" x14ac:dyDescent="0.3">
      <c r="C15" s="19" t="s">
        <v>22</v>
      </c>
      <c r="D15" s="13">
        <f>VLOOKUP($E$9&amp;"-"&amp;$C15,Perfil!A:D,4,0)</f>
        <v>0.1</v>
      </c>
      <c r="E15" s="14">
        <f t="shared" si="0"/>
        <v>0</v>
      </c>
      <c r="F15" s="15">
        <v>10</v>
      </c>
      <c r="G15" s="19" t="s">
        <v>6</v>
      </c>
      <c r="H15" s="20">
        <f t="shared" si="1"/>
        <v>0</v>
      </c>
      <c r="I15" s="21">
        <f t="shared" si="2"/>
        <v>0</v>
      </c>
    </row>
    <row r="16" spans="3:9" ht="18" x14ac:dyDescent="0.3">
      <c r="C16" s="19" t="s">
        <v>24</v>
      </c>
      <c r="D16" s="13">
        <f>VLOOKUP($E$9&amp;"-"&amp;$C16,Perfil!A:D,4,0)</f>
        <v>0.05</v>
      </c>
      <c r="E16" s="14">
        <f t="shared" si="0"/>
        <v>0</v>
      </c>
      <c r="F16" s="15">
        <v>15</v>
      </c>
      <c r="G16" s="12" t="s">
        <v>19</v>
      </c>
      <c r="H16" s="20">
        <f t="shared" si="1"/>
        <v>0</v>
      </c>
      <c r="I16" s="21">
        <f t="shared" si="2"/>
        <v>0</v>
      </c>
    </row>
    <row r="17" spans="3:9" ht="18" x14ac:dyDescent="0.3">
      <c r="C17" s="19" t="s">
        <v>20</v>
      </c>
      <c r="D17" s="13">
        <f>VLOOKUP($E$9&amp;"-"&amp;$C17,Perfil!A:D,4,0)</f>
        <v>0.1</v>
      </c>
      <c r="E17" s="14">
        <f t="shared" si="0"/>
        <v>0</v>
      </c>
      <c r="F17" s="15">
        <v>20</v>
      </c>
      <c r="G17" s="12" t="s">
        <v>7</v>
      </c>
      <c r="H17" s="20">
        <f t="shared" si="1"/>
        <v>0</v>
      </c>
      <c r="I17" s="21">
        <f t="shared" si="2"/>
        <v>0</v>
      </c>
    </row>
    <row r="18" spans="3:9" ht="18" x14ac:dyDescent="0.3">
      <c r="C18" s="19" t="s">
        <v>21</v>
      </c>
      <c r="D18" s="13">
        <f>VLOOKUP($E$9&amp;"-"&amp;$C18,Perfil!A:D,4,0)</f>
        <v>0.15</v>
      </c>
      <c r="E18" s="14">
        <f t="shared" si="0"/>
        <v>0</v>
      </c>
      <c r="F18" s="15">
        <v>30</v>
      </c>
      <c r="G18" s="43" t="s">
        <v>8</v>
      </c>
      <c r="H18" s="44">
        <f t="shared" si="1"/>
        <v>0</v>
      </c>
      <c r="I18" s="42">
        <f t="shared" si="2"/>
        <v>0</v>
      </c>
    </row>
    <row r="19" spans="3:9" ht="7.5" customHeight="1" x14ac:dyDescent="0.25">
      <c r="C19" s="22"/>
      <c r="D19" s="23"/>
    </row>
    <row r="20" spans="3:9" ht="19.5" x14ac:dyDescent="0.4">
      <c r="G20" s="32" t="s">
        <v>35</v>
      </c>
      <c r="H20" s="32"/>
      <c r="I20" s="32"/>
    </row>
    <row r="21" spans="3:9" x14ac:dyDescent="0.25"/>
    <row r="22" spans="3:9" x14ac:dyDescent="0.25"/>
    <row r="23" spans="3:9" x14ac:dyDescent="0.25"/>
    <row r="24" spans="3:9" x14ac:dyDescent="0.25"/>
    <row r="25" spans="3:9" x14ac:dyDescent="0.25"/>
    <row r="26" spans="3:9" x14ac:dyDescent="0.25"/>
    <row r="27" spans="3:9" x14ac:dyDescent="0.25"/>
    <row r="28" spans="3:9" x14ac:dyDescent="0.25"/>
    <row r="29" spans="3:9" x14ac:dyDescent="0.25"/>
    <row r="30" spans="3:9" x14ac:dyDescent="0.25"/>
    <row r="31" spans="3:9" x14ac:dyDescent="0.25"/>
    <row r="32" spans="3:9" x14ac:dyDescent="0.25"/>
    <row r="33" x14ac:dyDescent="0.25"/>
    <row r="34" x14ac:dyDescent="0.25"/>
  </sheetData>
  <mergeCells count="16">
    <mergeCell ref="C1:I1"/>
    <mergeCell ref="G20:I20"/>
    <mergeCell ref="C10:D10"/>
    <mergeCell ref="C2:I2"/>
    <mergeCell ref="C9:D9"/>
    <mergeCell ref="C5:D5"/>
    <mergeCell ref="C6:D6"/>
    <mergeCell ref="C7:D7"/>
    <mergeCell ref="G9:H9"/>
    <mergeCell ref="G8:H8"/>
    <mergeCell ref="G7:H7"/>
    <mergeCell ref="G6:H6"/>
    <mergeCell ref="G5:H5"/>
    <mergeCell ref="C4:E4"/>
    <mergeCell ref="G4:I4"/>
    <mergeCell ref="G12:H1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="Insira um perfil válido" prompt="Insira o Perfil do Investidor" xr:uid="{7C51B9ED-6801-4734-B709-D94ECA17426B}">
          <x14:formula1>
            <xm:f>Perfil!$F$3:$F$5</xm:f>
          </x14:formula1>
          <xm:sqref>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73DCC-7055-4704-87CE-8D07EE3A79FD}">
  <dimension ref="A2:F21"/>
  <sheetViews>
    <sheetView showGridLines="0" zoomScale="115" zoomScaleNormal="115" workbookViewId="0">
      <selection activeCell="H16" sqref="H16"/>
    </sheetView>
  </sheetViews>
  <sheetFormatPr defaultRowHeight="15" x14ac:dyDescent="0.25"/>
  <cols>
    <col min="1" max="1" width="31.5703125" customWidth="1"/>
    <col min="2" max="2" width="15.42578125" customWidth="1"/>
    <col min="3" max="3" width="20.5703125" customWidth="1"/>
    <col min="4" max="4" width="10.42578125" customWidth="1"/>
    <col min="6" max="6" width="13.140625" bestFit="1" customWidth="1"/>
  </cols>
  <sheetData>
    <row r="2" spans="1:6" ht="20.25" thickBot="1" x14ac:dyDescent="0.35">
      <c r="A2" s="3" t="s">
        <v>15</v>
      </c>
      <c r="B2" s="3" t="s">
        <v>9</v>
      </c>
      <c r="C2" s="3" t="s">
        <v>11</v>
      </c>
      <c r="D2" s="3" t="s">
        <v>16</v>
      </c>
      <c r="F2" s="3" t="s">
        <v>9</v>
      </c>
    </row>
    <row r="3" spans="1:6" ht="16.5" thickTop="1" x14ac:dyDescent="0.25">
      <c r="A3" s="4" t="str">
        <f>B3&amp;"-"&amp;C3</f>
        <v>Conservador-Desenvolvimento</v>
      </c>
      <c r="B3" s="4" t="s">
        <v>17</v>
      </c>
      <c r="C3" s="4" t="s">
        <v>23</v>
      </c>
      <c r="D3" s="5">
        <v>0.25</v>
      </c>
      <c r="E3" s="1"/>
      <c r="F3" s="4" t="s">
        <v>17</v>
      </c>
    </row>
    <row r="4" spans="1:6" ht="15.75" x14ac:dyDescent="0.25">
      <c r="A4" s="6" t="str">
        <f t="shared" ref="A4:A20" si="0">B4&amp;"-"&amp;C4</f>
        <v>Conservador-FOFs</v>
      </c>
      <c r="B4" s="6" t="s">
        <v>17</v>
      </c>
      <c r="C4" s="6" t="s">
        <v>14</v>
      </c>
      <c r="D4" s="2">
        <v>0.3</v>
      </c>
      <c r="F4" s="6" t="s">
        <v>10</v>
      </c>
    </row>
    <row r="5" spans="1:6" ht="15.75" x14ac:dyDescent="0.25">
      <c r="A5" s="6" t="str">
        <f t="shared" si="0"/>
        <v>Conservador-Híbridos</v>
      </c>
      <c r="B5" s="6" t="s">
        <v>17</v>
      </c>
      <c r="C5" s="6" t="s">
        <v>22</v>
      </c>
      <c r="D5" s="2">
        <v>0.1</v>
      </c>
      <c r="F5" s="6" t="s">
        <v>18</v>
      </c>
    </row>
    <row r="6" spans="1:6" ht="15.75" x14ac:dyDescent="0.25">
      <c r="A6" s="6" t="str">
        <f t="shared" si="0"/>
        <v>Conservador-Hotelarias</v>
      </c>
      <c r="B6" s="6" t="s">
        <v>17</v>
      </c>
      <c r="C6" s="6" t="s">
        <v>24</v>
      </c>
      <c r="D6" s="2">
        <v>0.05</v>
      </c>
    </row>
    <row r="7" spans="1:6" ht="15.75" x14ac:dyDescent="0.25">
      <c r="A7" s="6" t="str">
        <f t="shared" si="0"/>
        <v>Conservador-Papel</v>
      </c>
      <c r="B7" s="6" t="s">
        <v>17</v>
      </c>
      <c r="C7" s="6" t="s">
        <v>20</v>
      </c>
      <c r="D7" s="2">
        <v>0.2</v>
      </c>
    </row>
    <row r="8" spans="1:6" ht="16.5" thickBot="1" x14ac:dyDescent="0.3">
      <c r="A8" s="7" t="str">
        <f t="shared" si="0"/>
        <v>Conservador-Tijolo</v>
      </c>
      <c r="B8" s="7" t="s">
        <v>17</v>
      </c>
      <c r="C8" s="7" t="s">
        <v>21</v>
      </c>
      <c r="D8" s="8">
        <v>0.1</v>
      </c>
    </row>
    <row r="9" spans="1:6" ht="16.5" thickTop="1" x14ac:dyDescent="0.25">
      <c r="A9" s="4" t="str">
        <f t="shared" si="0"/>
        <v>Moderado-Desenvolvimento</v>
      </c>
      <c r="B9" s="4" t="s">
        <v>10</v>
      </c>
      <c r="C9" s="4" t="s">
        <v>23</v>
      </c>
      <c r="D9" s="5">
        <v>0.32</v>
      </c>
    </row>
    <row r="10" spans="1:6" ht="15.75" x14ac:dyDescent="0.25">
      <c r="A10" s="6" t="str">
        <f t="shared" si="0"/>
        <v>Moderado-FOFs</v>
      </c>
      <c r="B10" s="6" t="s">
        <v>10</v>
      </c>
      <c r="C10" s="6" t="s">
        <v>14</v>
      </c>
      <c r="D10" s="2">
        <v>0.35</v>
      </c>
    </row>
    <row r="11" spans="1:6" ht="15.75" x14ac:dyDescent="0.25">
      <c r="A11" s="6" t="str">
        <f t="shared" si="0"/>
        <v>Moderado-Híbridos</v>
      </c>
      <c r="B11" s="6" t="s">
        <v>10</v>
      </c>
      <c r="C11" s="6" t="s">
        <v>22</v>
      </c>
      <c r="D11" s="2">
        <v>0.08</v>
      </c>
    </row>
    <row r="12" spans="1:6" ht="15.75" x14ac:dyDescent="0.25">
      <c r="A12" s="6" t="str">
        <f t="shared" si="0"/>
        <v>Moderado-Hotelarias</v>
      </c>
      <c r="B12" s="6" t="s">
        <v>10</v>
      </c>
      <c r="C12" s="6" t="s">
        <v>24</v>
      </c>
      <c r="D12" s="2">
        <v>0.05</v>
      </c>
    </row>
    <row r="13" spans="1:6" ht="15.75" x14ac:dyDescent="0.25">
      <c r="A13" s="6" t="str">
        <f t="shared" si="0"/>
        <v>Moderado-Papel</v>
      </c>
      <c r="B13" s="6" t="s">
        <v>10</v>
      </c>
      <c r="C13" s="6" t="s">
        <v>20</v>
      </c>
      <c r="D13" s="2">
        <v>0.1</v>
      </c>
    </row>
    <row r="14" spans="1:6" ht="16.5" thickBot="1" x14ac:dyDescent="0.3">
      <c r="A14" s="7" t="str">
        <f t="shared" si="0"/>
        <v>Moderado-Tijolo</v>
      </c>
      <c r="B14" s="7" t="s">
        <v>10</v>
      </c>
      <c r="C14" s="7" t="s">
        <v>21</v>
      </c>
      <c r="D14" s="8">
        <v>0.1</v>
      </c>
    </row>
    <row r="15" spans="1:6" ht="16.5" thickTop="1" x14ac:dyDescent="0.25">
      <c r="A15" s="4" t="str">
        <f t="shared" si="0"/>
        <v>Agressivo-Desenvolvimento</v>
      </c>
      <c r="B15" s="4" t="s">
        <v>18</v>
      </c>
      <c r="C15" s="4" t="s">
        <v>23</v>
      </c>
      <c r="D15" s="5">
        <v>0.5</v>
      </c>
    </row>
    <row r="16" spans="1:6" ht="15.75" x14ac:dyDescent="0.25">
      <c r="A16" s="6" t="str">
        <f t="shared" si="0"/>
        <v>Agressivo-FOFs</v>
      </c>
      <c r="B16" s="6" t="s">
        <v>18</v>
      </c>
      <c r="C16" s="6" t="s">
        <v>14</v>
      </c>
      <c r="D16" s="2">
        <v>0.1</v>
      </c>
    </row>
    <row r="17" spans="1:4" ht="15.75" x14ac:dyDescent="0.25">
      <c r="A17" s="6" t="str">
        <f t="shared" si="0"/>
        <v>Agressivo-Híbridos</v>
      </c>
      <c r="B17" s="6" t="s">
        <v>18</v>
      </c>
      <c r="C17" s="6" t="s">
        <v>22</v>
      </c>
      <c r="D17" s="2">
        <v>0.1</v>
      </c>
    </row>
    <row r="18" spans="1:4" ht="15.75" x14ac:dyDescent="0.25">
      <c r="A18" s="6" t="str">
        <f t="shared" si="0"/>
        <v>Agressivo-Hotelarias</v>
      </c>
      <c r="B18" s="6" t="s">
        <v>18</v>
      </c>
      <c r="C18" s="6" t="s">
        <v>24</v>
      </c>
      <c r="D18" s="2">
        <v>0.05</v>
      </c>
    </row>
    <row r="19" spans="1:4" ht="15.75" x14ac:dyDescent="0.25">
      <c r="A19" s="6" t="str">
        <f t="shared" si="0"/>
        <v>Agressivo-Papel</v>
      </c>
      <c r="B19" s="6" t="s">
        <v>18</v>
      </c>
      <c r="C19" s="6" t="s">
        <v>20</v>
      </c>
      <c r="D19" s="2">
        <v>0.1</v>
      </c>
    </row>
    <row r="20" spans="1:4" ht="16.5" thickBot="1" x14ac:dyDescent="0.3">
      <c r="A20" s="7" t="str">
        <f t="shared" si="0"/>
        <v>Agressivo-Tijolo</v>
      </c>
      <c r="B20" s="7" t="s">
        <v>18</v>
      </c>
      <c r="C20" s="7" t="s">
        <v>21</v>
      </c>
      <c r="D20" s="8">
        <v>0.15</v>
      </c>
    </row>
    <row r="21" spans="1:4" ht="15.75" thickTop="1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Simulador</vt:lpstr>
      <vt:lpstr>Perfil</vt:lpstr>
      <vt:lpstr>salario</vt:lpstr>
      <vt:lpstr>sug_invest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Ronnie Dallacqua Alves</dc:creator>
  <cp:lastModifiedBy>Ronnie Dallacqua Alves</cp:lastModifiedBy>
  <dcterms:created xsi:type="dcterms:W3CDTF">2026-09-09T14:23:09Z</dcterms:created>
  <dcterms:modified xsi:type="dcterms:W3CDTF">2026-09-10T10:16:56Z</dcterms:modified>
</cp:coreProperties>
</file>